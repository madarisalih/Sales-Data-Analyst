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ER\Desktop\SOLIH\"/>
    </mc:Choice>
  </mc:AlternateContent>
  <xr:revisionPtr revIDLastSave="0" documentId="13_ncr:1_{3516E2A1-B47D-4B8C-A06B-59894E236D5E}" xr6:coauthVersionLast="47" xr6:coauthVersionMax="47" xr10:uidLastSave="{00000000-0000-0000-0000-000000000000}"/>
  <bookViews>
    <workbookView xWindow="-120" yWindow="-120" windowWidth="21840" windowHeight="13140" activeTab="2" xr2:uid="{00000000-000D-0000-FFFF-FFFF00000000}"/>
  </bookViews>
  <sheets>
    <sheet name="pivot" sheetId="2" r:id="rId1"/>
    <sheet name="DASHBOARD" sheetId="3" r:id="rId2"/>
    <sheet name="ORDER DATA" sheetId="1" r:id="rId3"/>
  </sheets>
  <definedNames>
    <definedName name="_xlcn.WorksheetConnection_ORDERDATAA1H3671" hidden="1">'ORDER DATA'!$A$1:$H$367</definedName>
    <definedName name="Slicer_Item">#N/A</definedName>
    <definedName name="Slicer_Region">#N/A</definedName>
    <definedName name="Timeline_Date">#N/A</definedName>
  </definedNames>
  <calcPr calcId="191029"/>
  <pivotCaches>
    <pivotCache cacheId="111" r:id="rId4"/>
    <pivotCache cacheId="152" r:id="rId5"/>
    <pivotCache cacheId="150" r:id="rId6"/>
    <pivotCache cacheId="194" r:id="rId7"/>
  </pivotCaches>
  <extLst>
    <ext xmlns:x14="http://schemas.microsoft.com/office/spreadsheetml/2009/9/main" uri="{876F7934-8845-4945-9796-88D515C7AA90}">
      <x14:pivotCaches>
        <pivotCache cacheId="89"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5"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ORDER DATA!$A$1:$H$36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41C5D0-A200-415F-8677-61EF3E2559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E35165D-E916-4AB2-A37D-EF312E46D14B}" name="WorksheetConnection_ORDER DATA!$A$1:$H$367" type="102" refreshedVersion="8" minRefreshableVersion="5">
    <extLst>
      <ext xmlns:x15="http://schemas.microsoft.com/office/spreadsheetml/2010/11/main" uri="{DE250136-89BD-433C-8126-D09CA5730AF9}">
        <x15:connection id="Range" autoDelete="1">
          <x15:rangePr sourceName="_xlcn.WorksheetConnection_ORDERDATAA1H3671"/>
        </x15:connection>
      </ext>
    </extLst>
  </connection>
</connections>
</file>

<file path=xl/sharedStrings.xml><?xml version="1.0" encoding="utf-8"?>
<sst xmlns="http://schemas.openxmlformats.org/spreadsheetml/2006/main" count="1128" uniqueCount="29">
  <si>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</si>
  <si>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</si>
  <si>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</si>
  <si>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</si>
  <si>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</si>
  <si>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</si>
  <si>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</si>
  <si>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</si>
  <si>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</si>
  <si>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</si>
  <si>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</si>
  <si>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</si>
  <si>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</si>
  <si>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</si>
  <si>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</si>
  <si>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</si>
  <si>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</si>
  <si>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</si>
  <si>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</si>
  <si>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</si>
  <si>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</si>
  <si>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</si>
  <si>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</si>
  <si>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</si>
  <si>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</si>
  <si>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</si>
  <si>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</si>
  <si>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REGION BY SALES</t>
  </si>
  <si>
    <t>ITEM BY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</si>
</sst>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applyAlignment="1">
      <alignment horizontal="center"/>
    </xf>
    <xf numFmtId="0" fontId="0" fillId="3" borderId="0" xfId="0" applyFill="1" applyAlignment="1">
      <alignment horizontal="center"/>
    </xf>
    <xf numFmtId="0" fontId="0" fillId="2" borderId="0" xfId="0" applyFill="1"/>
  </cellXfs>
  <cellStyles count="1">
    <cellStyle name="Normal" xfId="0" builtinId="0"/>
  </cellStyles>
  <dxfs count="3">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11/relationships/timelineCache" Target="timelineCaches/timeline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6.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connections" Target="connection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38101</xdr:rowOff>
    </xdr:from>
    <xdr:to>
      <xdr:col>3</xdr:col>
      <xdr:colOff>271276</xdr:colOff>
      <xdr:row>15</xdr:row>
      <xdr:rowOff>123825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B1D619D-5796-C3C4-6216-8BA67DB472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52601"/>
              <a:ext cx="3224026" cy="1228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552449</xdr:colOff>
      <xdr:row>10</xdr:row>
      <xdr:rowOff>66675</xdr:rowOff>
    </xdr:from>
    <xdr:to>
      <xdr:col>7</xdr:col>
      <xdr:colOff>923924</xdr:colOff>
      <xdr:row>18</xdr:row>
      <xdr:rowOff>76200</xdr:rowOff>
    </xdr:to>
    <mc:AlternateContent xmlns:mc="http://schemas.openxmlformats.org/markup-compatibility/2006">
      <mc:Choice xmlns:a14="http://schemas.microsoft.com/office/drawing/2010/main" Requires="a14">
        <xdr:graphicFrame macro="">
          <xdr:nvGraphicFramePr>
            <xdr:cNvPr id="5" name="Item">
              <a:extLst>
                <a:ext uri="{FF2B5EF4-FFF2-40B4-BE49-F238E27FC236}">
                  <a16:creationId xmlns:a16="http://schemas.microsoft.com/office/drawing/2014/main" id="{69025B1C-DB04-0556-CF9A-34F7857A39D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3505199" y="1971675"/>
              <a:ext cx="4410075"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203200</xdr:colOff>
      <xdr:row>0</xdr:row>
      <xdr:rowOff>127001</xdr:rowOff>
    </xdr:from>
    <xdr:to>
      <xdr:col>25</xdr:col>
      <xdr:colOff>101600</xdr:colOff>
      <xdr:row>36</xdr:row>
      <xdr:rowOff>50801</xdr:rowOff>
    </xdr:to>
    <xdr:sp macro="" textlink="">
      <xdr:nvSpPr>
        <xdr:cNvPr id="2" name="Rectangle: Rounded Corners 1">
          <a:extLst>
            <a:ext uri="{FF2B5EF4-FFF2-40B4-BE49-F238E27FC236}">
              <a16:creationId xmlns:a16="http://schemas.microsoft.com/office/drawing/2014/main" id="{11CBA479-1A5D-3E1D-4126-4325021582D9}"/>
            </a:ext>
          </a:extLst>
        </xdr:cNvPr>
        <xdr:cNvSpPr/>
      </xdr:nvSpPr>
      <xdr:spPr>
        <a:xfrm>
          <a:off x="1422400" y="127001"/>
          <a:ext cx="13919200" cy="6781800"/>
        </a:xfrm>
        <a:prstGeom prst="roundRect">
          <a:avLst>
            <a:gd name="adj" fmla="val 2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1</xdr:row>
      <xdr:rowOff>88901</xdr:rowOff>
    </xdr:from>
    <xdr:to>
      <xdr:col>24</xdr:col>
      <xdr:colOff>571499</xdr:colOff>
      <xdr:row>35</xdr:row>
      <xdr:rowOff>76201</xdr:rowOff>
    </xdr:to>
    <xdr:sp macro="" textlink="">
      <xdr:nvSpPr>
        <xdr:cNvPr id="3" name="Rectangle: Rounded Corners 2">
          <a:extLst>
            <a:ext uri="{FF2B5EF4-FFF2-40B4-BE49-F238E27FC236}">
              <a16:creationId xmlns:a16="http://schemas.microsoft.com/office/drawing/2014/main" id="{5DE0F77E-5339-45B3-8BC6-4DAD8CE2EA6C}"/>
            </a:ext>
          </a:extLst>
        </xdr:cNvPr>
        <xdr:cNvSpPr/>
      </xdr:nvSpPr>
      <xdr:spPr>
        <a:xfrm>
          <a:off x="3048000" y="279401"/>
          <a:ext cx="12153899" cy="6464300"/>
        </a:xfrm>
        <a:prstGeom prst="roundRect">
          <a:avLst>
            <a:gd name="adj" fmla="val 25"/>
          </a:avLst>
        </a:prstGeom>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584200</xdr:colOff>
      <xdr:row>2</xdr:row>
      <xdr:rowOff>0</xdr:rowOff>
    </xdr:from>
    <xdr:to>
      <xdr:col>17</xdr:col>
      <xdr:colOff>317500</xdr:colOff>
      <xdr:row>9</xdr:row>
      <xdr:rowOff>114299</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AE5E5734-B273-48AE-BC81-7E1856071C13}"/>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632200" y="381000"/>
              <a:ext cx="7048500" cy="14477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584200</xdr:colOff>
      <xdr:row>2</xdr:row>
      <xdr:rowOff>12700</xdr:rowOff>
    </xdr:from>
    <xdr:to>
      <xdr:col>24</xdr:col>
      <xdr:colOff>393700</xdr:colOff>
      <xdr:row>9</xdr:row>
      <xdr:rowOff>76200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7F4B27A0-C45A-4652-8484-D91265C7CA4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47400" y="393700"/>
              <a:ext cx="40767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558800</xdr:colOff>
      <xdr:row>10</xdr:row>
      <xdr:rowOff>50801</xdr:rowOff>
    </xdr:from>
    <xdr:to>
      <xdr:col>24</xdr:col>
      <xdr:colOff>355600</xdr:colOff>
      <xdr:row>14</xdr:row>
      <xdr:rowOff>152400</xdr:rowOff>
    </xdr:to>
    <mc:AlternateContent xmlns:mc="http://schemas.openxmlformats.org/markup-compatibility/2006">
      <mc:Choice xmlns:a14="http://schemas.microsoft.com/office/drawing/2010/main" Requires="a14">
        <xdr:graphicFrame macro="">
          <xdr:nvGraphicFramePr>
            <xdr:cNvPr id="8" name="Item 1">
              <a:extLst>
                <a:ext uri="{FF2B5EF4-FFF2-40B4-BE49-F238E27FC236}">
                  <a16:creationId xmlns:a16="http://schemas.microsoft.com/office/drawing/2014/main" id="{FB314DB8-207A-452F-8BA1-56FC85488B39}"/>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3606800" y="1955801"/>
              <a:ext cx="11379200" cy="863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533400</xdr:colOff>
      <xdr:row>15</xdr:row>
      <xdr:rowOff>25400</xdr:rowOff>
    </xdr:from>
    <xdr:to>
      <xdr:col>24</xdr:col>
      <xdr:colOff>342900</xdr:colOff>
      <xdr:row>17</xdr:row>
      <xdr:rowOff>12700</xdr:rowOff>
    </xdr:to>
    <xdr:sp macro="" textlink="">
      <xdr:nvSpPr>
        <xdr:cNvPr id="9" name="Rectangle 8">
          <a:extLst>
            <a:ext uri="{FF2B5EF4-FFF2-40B4-BE49-F238E27FC236}">
              <a16:creationId xmlns:a16="http://schemas.microsoft.com/office/drawing/2014/main" id="{DB6176C9-D780-74E7-3EB9-738FEFEC801E}"/>
            </a:ext>
          </a:extLst>
        </xdr:cNvPr>
        <xdr:cNvSpPr/>
      </xdr:nvSpPr>
      <xdr:spPr>
        <a:xfrm>
          <a:off x="3581400" y="2882900"/>
          <a:ext cx="11391900" cy="368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cap="none" spc="0">
              <a:ln w="0"/>
              <a:solidFill>
                <a:schemeClr val="bg1"/>
              </a:solidFill>
              <a:effectLst>
                <a:outerShdw blurRad="38100" dist="19050" dir="2700000" algn="tl" rotWithShape="0">
                  <a:schemeClr val="dk1">
                    <a:alpha val="40000"/>
                  </a:schemeClr>
                </a:outerShdw>
              </a:effectLst>
              <a:latin typeface="72 Black" panose="020B0A04030603020204" pitchFamily="34" charset="0"/>
              <a:cs typeface="72 Black" panose="020B0A04030603020204" pitchFamily="34" charset="0"/>
            </a:rPr>
            <a:t>A</a:t>
          </a:r>
          <a:r>
            <a:rPr lang="en-IN" sz="1400" b="0" cap="none" spc="0">
              <a:ln w="0"/>
              <a:solidFill>
                <a:schemeClr val="bg1"/>
              </a:solidFill>
              <a:effectLst>
                <a:outerShdw blurRad="38100" dist="19050" dir="2700000" algn="tl" rotWithShape="0">
                  <a:schemeClr val="dk1">
                    <a:alpha val="40000"/>
                  </a:schemeClr>
                </a:outerShdw>
              </a:effectLst>
              <a:latin typeface="72 Black" panose="020B0A04030603020204" pitchFamily="34" charset="0"/>
              <a:cs typeface="72 Black" panose="020B0A04030603020204" pitchFamily="34" charset="0"/>
            </a:rPr>
            <a:t>NALYTICS</a:t>
          </a:r>
        </a:p>
      </xdr:txBody>
    </xdr:sp>
    <xdr:clientData/>
  </xdr:twoCellAnchor>
  <xdr:twoCellAnchor editAs="oneCell">
    <xdr:from>
      <xdr:col>13</xdr:col>
      <xdr:colOff>203200</xdr:colOff>
      <xdr:row>15</xdr:row>
      <xdr:rowOff>76200</xdr:rowOff>
    </xdr:from>
    <xdr:to>
      <xdr:col>14</xdr:col>
      <xdr:colOff>177800</xdr:colOff>
      <xdr:row>16</xdr:row>
      <xdr:rowOff>139700</xdr:rowOff>
    </xdr:to>
    <xdr:pic>
      <xdr:nvPicPr>
        <xdr:cNvPr id="11" name="Graphic 10" descr="Bar chart with solid fill">
          <a:extLst>
            <a:ext uri="{FF2B5EF4-FFF2-40B4-BE49-F238E27FC236}">
              <a16:creationId xmlns:a16="http://schemas.microsoft.com/office/drawing/2014/main" id="{27E3F4E9-411F-3CD4-9602-1A1658EF55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28000" y="2933700"/>
          <a:ext cx="584200" cy="254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2.575211689815" backgroundQuery="1" createdVersion="8" refreshedVersion="8" minRefreshableVersion="3" recordCount="0" supportSubquery="1" supportAdvancedDrill="1" xr:uid="{D618B8FA-AAF1-4749-B3CB-66613515B52E}">
  <cacheSource type="external" connectionId="1"/>
  <cacheFields count="3">
    <cacheField name="[Range].[Date].[Date]" caption="Date" numFmtId="0" hierarchy="1" level="1">
      <sharedItems containsSemiMixedTypes="0" containsNonDate="0" containsDate="1" containsString="0" minDate="2021-09-01T00:00:00" maxDate="2022-01-02T00:00:00" count="123">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cacheField>
    <cacheField name="[Measures].[Sum of Amount]" caption="Sum of Amount" numFmtId="0" hierarchy="10" level="32767"/>
    <cacheField name="[Range].[Region].[Region]" caption="Region" numFmtId="0" hierarchy="3" level="1">
      <sharedItems count="4">
        <s v="East"/>
        <s v="North"/>
        <s v="South"/>
        <s v="West"/>
      </sharedItems>
    </cacheField>
  </cacheFields>
  <cacheHierarchies count="11">
    <cacheHierarchy uniqueName="[Range].[S No]" caption="S No" attribute="1" defaultMemberUniqueName="[Range].[S No].[All]" allUniqueName="[Range].[S No].[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Salesman]" caption="Salesman" attribute="1" defaultMemberUniqueName="[Range].[Salesman].[All]" allUniqueName="[Range].[Salesman].[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2" memberValueDatatype="20" unbalanced="0"/>
    <cacheHierarchy uniqueName="[Range].[Price]" caption="Price" attribute="1" defaultMemberUniqueName="[Range].[Price].[All]" allUniqueName="[Range].[Price].[All]" dimensionUniqueName="[Range]" displayFolder="" count="2" memberValueDatatype="20" unbalanced="0"/>
    <cacheHierarchy uniqueName="[Range].[Amount]" caption="Amount" attribute="1" defaultMemberUniqueName="[Range].[Amount].[All]" allUniqueName="[Range].[Amount].[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2.584227083331" backgroundQuery="1" createdVersion="8" refreshedVersion="8" minRefreshableVersion="3" recordCount="0" supportSubquery="1" supportAdvancedDrill="1" xr:uid="{C98F3129-26F9-46DC-87AA-5D8B9C524EDB}">
  <cacheSource type="external" connectionId="1"/>
  <cacheFields count="3">
    <cacheField name="[Range].[Date].[Date]" caption="Date" numFmtId="0" hierarchy="1" level="1">
      <sharedItems containsSemiMixedTypes="0" containsNonDate="0" containsDate="1" containsString="0" minDate="2021-09-01T00:00:00" maxDate="2022-01-02T00:00:00" count="123">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cacheField>
    <cacheField name="[Measures].[Sum of Amount]" caption="Sum of Amount" numFmtId="0" hierarchy="10" level="32767"/>
    <cacheField name="[Range].[Item].[Item]" caption="Item" numFmtId="0" hierarchy="4" level="1">
      <sharedItems containsSemiMixedTypes="0" containsNonDate="0" containsString="0"/>
    </cacheField>
  </cacheFields>
  <cacheHierarchies count="11">
    <cacheHierarchy uniqueName="[Range].[S No]" caption="S No" attribute="1" defaultMemberUniqueName="[Range].[S No].[All]" allUniqueName="[Range].[S No].[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Salesman]" caption="Salesman" attribute="1" defaultMemberUniqueName="[Range].[Salesman].[All]" allUniqueName="[Range].[Salesman].[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2" memberValueDatatype="20" unbalanced="0"/>
    <cacheHierarchy uniqueName="[Range].[Price]" caption="Price" attribute="1" defaultMemberUniqueName="[Range].[Price].[All]" allUniqueName="[Range].[Price].[All]" dimensionUniqueName="[Range]" displayFolder="" count="2" memberValueDatatype="20" unbalanced="0"/>
    <cacheHierarchy uniqueName="[Range].[Amount]" caption="Amount" attribute="1" defaultMemberUniqueName="[Range].[Amount].[All]" allUniqueName="[Range].[Amount].[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2.584226851854" backgroundQuery="1" createdVersion="8" refreshedVersion="8" minRefreshableVersion="3" recordCount="0" supportSubquery="1" supportAdvancedDrill="1" xr:uid="{4B675F1D-6158-4A83-8432-78A219EF9F1D}">
  <cacheSource type="external" connectionId="1"/>
  <cacheFields count="3">
    <cacheField name="[Range].[Date].[Date]" caption="Date" numFmtId="0" hierarchy="1" level="1">
      <sharedItems containsSemiMixedTypes="0" containsNonDate="0" containsDate="1" containsString="0" minDate="2021-09-01T00:00:00" maxDate="2022-01-02T00:00:00" count="123">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cacheField>
    <cacheField name="[Measures].[Sum of Amount]" caption="Sum of Amount" numFmtId="0" hierarchy="10" level="32767"/>
    <cacheField name="[Range].[Item].[Item]" caption="Item" numFmtId="0" hierarchy="4" level="1">
      <sharedItems count="6">
        <s v="Keyboard"/>
        <s v="Monitor"/>
        <s v="Mouse"/>
        <s v="Printer"/>
        <s v="Scanner"/>
        <s v="Speaker"/>
      </sharedItems>
    </cacheField>
  </cacheFields>
  <cacheHierarchies count="11">
    <cacheHierarchy uniqueName="[Range].[S No]" caption="S No" attribute="1" defaultMemberUniqueName="[Range].[S No].[All]" allUniqueName="[Range].[S No].[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Salesman]" caption="Salesman" attribute="1" defaultMemberUniqueName="[Range].[Salesman].[All]" allUniqueName="[Range].[Salesman].[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2" memberValueDatatype="20" unbalanced="0"/>
    <cacheHierarchy uniqueName="[Range].[Price]" caption="Price" attribute="1" defaultMemberUniqueName="[Range].[Price].[All]" allUniqueName="[Range].[Price].[All]" dimensionUniqueName="[Range]" displayFolder="" count="2" memberValueDatatype="20" unbalanced="0"/>
    <cacheHierarchy uniqueName="[Range].[Amount]" caption="Amount" attribute="1" defaultMemberUniqueName="[Range].[Amount].[All]" allUniqueName="[Range].[Amount].[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2.586664236114" backgroundQuery="1" createdVersion="8" refreshedVersion="8" minRefreshableVersion="3" recordCount="0" supportSubquery="1" supportAdvancedDrill="1" xr:uid="{F4CB4F44-B42F-46A4-88FA-5131BB7C5F68}">
  <cacheSource type="external" connectionId="1"/>
  <cacheFields count="2">
    <cacheField name="[Range].[Date].[Date]" caption="Date" numFmtId="0" hierarchy="1" level="1">
      <sharedItems containsSemiMixedTypes="0" containsNonDate="0" containsDate="1" containsString="0" minDate="2021-09-01T00:00:00" maxDate="2022-01-02T00:00:00" count="123">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cacheField>
    <cacheField name="[Measures].[Sum of Amount]" caption="Sum of Amount" numFmtId="0" hierarchy="10" level="32767"/>
  </cacheFields>
  <cacheHierarchies count="11">
    <cacheHierarchy uniqueName="[Range].[S No]" caption="S No" attribute="1" defaultMemberUniqueName="[Range].[S No].[All]" allUniqueName="[Range].[S No].[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Salesman]" caption="Salesman" attribute="1" defaultMemberUniqueName="[Range].[Salesman].[All]" allUniqueName="[Range].[Salesman].[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2" memberValueDatatype="20" unbalanced="0"/>
    <cacheHierarchy uniqueName="[Range].[Price]" caption="Price" attribute="1" defaultMemberUniqueName="[Range].[Price].[All]" allUniqueName="[Range].[Price].[All]" dimensionUniqueName="[Range]" displayFolder="" count="2" memberValueDatatype="20" unbalanced="0"/>
    <cacheHierarchy uniqueName="[Range].[Amount]" caption="Amount" attribute="1" defaultMemberUniqueName="[Range].[Amount].[All]" allUniqueName="[Range].[Amount].[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2.571418981483" backgroundQuery="1" createdVersion="3" refreshedVersion="8" minRefreshableVersion="3" recordCount="0" supportSubquery="1" supportAdvancedDrill="1" xr:uid="{5CA04D47-286A-487B-B5C4-5713F2D7B960}">
  <cacheSource type="external" connectionId="1">
    <extLst>
      <ext xmlns:x14="http://schemas.microsoft.com/office/spreadsheetml/2009/9/main" uri="{F057638F-6D5F-4e77-A914-E7F072B9BCA8}">
        <x14:sourceConnection name="ThisWorkbookDataModel"/>
      </ext>
    </extLst>
  </cacheSource>
  <cacheFields count="0"/>
  <cacheHierarchies count="11">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1193713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2.568127662038" backgroundQuery="1" createdVersion="3" refreshedVersion="8" minRefreshableVersion="3" recordCount="0" supportSubquery="1" supportAdvancedDrill="1" xr:uid="{121D4ED9-162F-4794-9DC3-DAB0134CFED0}">
  <cacheSource type="external" connectionId="1">
    <extLst>
      <ext xmlns:x14="http://schemas.microsoft.com/office/spreadsheetml/2009/9/main" uri="{F057638F-6D5F-4e77-A914-E7F072B9BCA8}">
        <x14:sourceConnection name="ThisWorkbookDataModel"/>
      </ext>
    </extLst>
  </cacheSource>
  <cacheFields count="0"/>
  <cacheHierarchies count="11">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4616908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5B5AEB-0403-44D4-9566-6C0DB56B41FF}" name="PivotTable3" cacheId="15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3:J4" firstHeaderRow="1" firstDataRow="1" firstDataCol="0"/>
  <pivotFields count="3">
    <pivotField allDrilled="1" subtotalTop="0" showAll="0" dataSourceSort="1" defaultSubtotal="0" defaultAttributeDrillState="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1" baseField="0" baseItem="0"/>
  </dataFields>
  <formats count="1">
    <format dxfId="0">
      <pivotArea dataOnly="0" labelOnly="1" outline="0" axis="axisValues" fieldPosition="0"/>
    </format>
  </formats>
  <pivotHierarchies count="1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dateBetween" evalOrder="-1" id="10" name="[Range].[Date]">
      <autoFilter ref="A1">
        <filterColumn colId="0">
          <customFilters and="1">
            <customFilter operator="greaterThanOrEqual" val="44440"/>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 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80941C-52E6-4570-88ED-1B5C9A0F71C4}" name="PivotTable4" cacheId="19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L4:M128" firstHeaderRow="1" firstDataRow="1" firstDataCol="1"/>
  <pivotFields count="2">
    <pivotField axis="axisRow" allDrilled="1" subtotalTop="0" showAll="0" dataSourceSort="1" defaultSubtotal="0" defaultAttributeDrillState="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 dataField="1" subtotalTop="0" showAll="0" defaultSubtotal="0"/>
  </pivotFields>
  <rowFields count="1">
    <field x="0"/>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Items count="1">
    <i/>
  </colItems>
  <dataFields count="1">
    <dataField name="Sum of Amount" fld="1" baseField="0" baseItem="0"/>
  </dataFields>
  <pivotHierarchies count="1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dateBetween" evalOrder="-1" id="10" name="[Range].[Date]">
      <autoFilter ref="A1">
        <filterColumn colId="0">
          <customFilters and="1">
            <customFilter operator="greaterThanOrEqual" val="44440"/>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 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1B556-77BA-4601-9320-66D110BE78BC}" name="PivotTable2" cacheId="15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E3:F10" firstHeaderRow="1" firstDataRow="1" firstDataCol="1"/>
  <pivotFields count="3">
    <pivotField allDrilled="1" subtotalTop="0" showAll="0" dataSourceSort="1" defaultSubtotal="0" defaultAttributeDrillState="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name="Sum of Amount" fld="1" baseField="0" baseItem="0"/>
  </dataFields>
  <pivotHierarchies count="1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dateBetween" evalOrder="-1" id="10" name="[Range].[Date]">
      <autoFilter ref="A1">
        <filterColumn colId="0">
          <customFilters and="1">
            <customFilter operator="greaterThanOrEqual" val="44440"/>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 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E22225-E818-4F30-8EA8-6B24094C111D}" name="PivotTable1" cacheId="1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8" firstHeaderRow="1" firstDataRow="1" firstDataCol="1"/>
  <pivotFields count="3">
    <pivotField allDrilled="1" subtotalTop="0" showAll="0" dataSourceSort="1" defaultSubtotal="0" defaultAttributeDrillState="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Amount" fld="1" baseField="0" baseItem="0"/>
  </dataFields>
  <pivotHierarchies count="1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dateBetween" evalOrder="-1" id="10" name="[Range].[Date]">
      <autoFilter ref="A1">
        <filterColumn colId="0">
          <customFilters and="1">
            <customFilter operator="greaterThanOrEqual" val="44440"/>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 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303759-5026-4A6A-AD0D-227BAF84ABC2}" sourceName="[Range].[Region]">
  <pivotTables>
    <pivotTable tabId="2" name="PivotTable1"/>
    <pivotTable tabId="2" name="PivotTable2"/>
    <pivotTable tabId="2" name="PivotTable3"/>
    <pivotTable tabId="2" name="PivotTable4"/>
  </pivotTables>
  <data>
    <olap pivotCacheId="111937133">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7B370C0-DB0A-4A7C-B890-F1395ACAC4EC}" sourceName="[Range].[Item]">
  <pivotTables>
    <pivotTable tabId="2" name="PivotTable2"/>
    <pivotTable tabId="2" name="PivotTable3"/>
    <pivotTable tabId="2" name="PivotTable4"/>
  </pivotTables>
  <data>
    <olap pivotCacheId="111937133">
      <levels count="2">
        <level uniqueName="[Range].[Item].[(All)]" sourceCaption="(All)" count="0"/>
        <level uniqueName="[Range].[Item].[Item]" sourceCaption="Item" count="6">
          <ranges>
            <range startItem="0">
              <i n="[Range].[Item].&amp;[Keyboard]" c="Keyboard"/>
              <i n="[Range].[Item].&amp;[Monitor]" c="Monitor"/>
              <i n="[Range].[Item].&amp;[Mouse]" c="Mouse"/>
              <i n="[Range].[Item].&amp;[Printer]" c="Printer"/>
              <i n="[Range].[Item].&amp;[Scanner]" c="Scanner"/>
              <i n="[Range].[Item].&amp;[Speaker]" c="Speaker"/>
            </range>
          </ranges>
        </level>
      </levels>
      <selections count="1">
        <selection n="[Range].[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946875-1ECE-4F61-9683-D577FDDC6372}" cache="Slicer_Region" caption="Region" columnCount="2" level="1" style="SlicerStyleLight4" rowHeight="324000"/>
  <slicer name="Item" xr10:uid="{8FBDBAC1-2E20-46FA-8DB9-381935657F05}" cache="Slicer_Item" caption="Item" columnCount="6" level="1" style="SlicerStyleLight4"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2C08C91-13E8-453A-A9F1-657E9FBC9496}" cache="Slicer_Region" caption="Region" columnCount="2" level="1" style="SlicerStyleLight4" rowHeight="324000"/>
  <slicer name="Item 1" xr10:uid="{7AF6A0EC-A662-4D81-88A3-38255776B2E4}" cache="Slicer_Item" caption="Item" columnCount="6" level="1" style="SlicerStyleLight4"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E3FC542-F38A-4DCF-9601-9D223B0B4379}" sourceName="[Range].[Date]">
  <pivotTables>
    <pivotTable tabId="2" name="PivotTable1"/>
    <pivotTable tabId="2" name="PivotTable2"/>
    <pivotTable tabId="2" name="PivotTable3"/>
    <pivotTable tabId="2" name="PivotTable4"/>
  </pivotTables>
  <state minimalRefreshVersion="6" lastRefreshVersion="6" pivotCacheId="461690871" filterType="dateBetween">
    <selection startDate="2021-09-01T00:00:00" endDate="2022-12-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C431E97-BC0E-41F3-8718-B24B1727BE7B}" cache="Timeline_Date" caption="Date" level="2" selectionLevel="2" scrollPosition="2021-08-26T00:00:00" style="TimeSlicerStyleLight4"/>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C6EE-491D-4883-AE0D-9104B699B679}">
  <dimension ref="A2:M128"/>
  <sheetViews>
    <sheetView topLeftCell="D1" workbookViewId="0">
      <selection activeCell="J13" sqref="J13"/>
    </sheetView>
  </sheetViews>
  <sheetFormatPr defaultRowHeight="15" x14ac:dyDescent="0.25"/>
  <cols>
    <col min="1" max="1" width="13.140625" bestFit="1" customWidth="1"/>
    <col min="2" max="2" width="14.85546875" bestFit="1" customWidth="1"/>
    <col min="3" max="4" width="16.28515625" bestFit="1" customWidth="1"/>
    <col min="5" max="5" width="13.140625" bestFit="1" customWidth="1"/>
    <col min="6" max="6" width="14.85546875" bestFit="1" customWidth="1"/>
    <col min="7" max="9" width="16.28515625" bestFit="1" customWidth="1"/>
    <col min="10" max="11" width="14.85546875" bestFit="1" customWidth="1"/>
    <col min="12" max="12" width="13.140625" bestFit="1" customWidth="1"/>
    <col min="13" max="13" width="14.85546875" bestFit="1" customWidth="1"/>
    <col min="14" max="14" width="16.28515625" bestFit="1" customWidth="1"/>
    <col min="15" max="15" width="11.28515625" bestFit="1" customWidth="1"/>
  </cols>
  <sheetData>
    <row r="2" spans="1:13" x14ac:dyDescent="0.25">
      <c r="A2" s="7" t="s">
        <v>27</v>
      </c>
      <c r="B2" s="7"/>
      <c r="E2" s="7" t="s">
        <v>28</v>
      </c>
      <c r="F2" s="7"/>
      <c r="J2" s="8"/>
      <c r="K2" s="8"/>
    </row>
    <row r="3" spans="1:13" x14ac:dyDescent="0.25">
      <c r="A3" s="3" t="s">
        <v>24</v>
      </c>
      <c r="B3" t="s">
        <v>26</v>
      </c>
      <c r="E3" s="3" t="s">
        <v>24</v>
      </c>
      <c r="F3" t="s">
        <v>26</v>
      </c>
      <c r="J3" s="9" t="s">
        <v>26</v>
      </c>
    </row>
    <row r="4" spans="1:13" x14ac:dyDescent="0.25">
      <c r="A4" s="4" t="s">
        <v>9</v>
      </c>
      <c r="B4" s="5">
        <v>271400</v>
      </c>
      <c r="E4" s="4" t="s">
        <v>21</v>
      </c>
      <c r="F4" s="5">
        <v>8590</v>
      </c>
      <c r="J4" s="5">
        <v>667750</v>
      </c>
      <c r="L4" s="3" t="s">
        <v>24</v>
      </c>
      <c r="M4" t="s">
        <v>26</v>
      </c>
    </row>
    <row r="5" spans="1:13" x14ac:dyDescent="0.25">
      <c r="A5" s="4" t="s">
        <v>22</v>
      </c>
      <c r="B5" s="5">
        <v>82060</v>
      </c>
      <c r="E5" s="4" t="s">
        <v>15</v>
      </c>
      <c r="F5" s="5">
        <v>86700</v>
      </c>
      <c r="L5" s="6">
        <v>44440</v>
      </c>
      <c r="M5" s="5">
        <v>380</v>
      </c>
    </row>
    <row r="6" spans="1:13" x14ac:dyDescent="0.25">
      <c r="A6" s="4" t="s">
        <v>23</v>
      </c>
      <c r="B6" s="5">
        <v>119900</v>
      </c>
      <c r="E6" s="4" t="s">
        <v>10</v>
      </c>
      <c r="F6" s="5">
        <v>15060</v>
      </c>
      <c r="L6" s="6">
        <v>44441</v>
      </c>
      <c r="M6" s="5">
        <v>420</v>
      </c>
    </row>
    <row r="7" spans="1:13" x14ac:dyDescent="0.25">
      <c r="A7" s="4" t="s">
        <v>12</v>
      </c>
      <c r="B7" s="5">
        <v>194390</v>
      </c>
      <c r="E7" s="4" t="s">
        <v>13</v>
      </c>
      <c r="F7" s="5">
        <v>375900</v>
      </c>
      <c r="L7" s="6">
        <v>44442</v>
      </c>
      <c r="M7" s="5">
        <v>14700</v>
      </c>
    </row>
    <row r="8" spans="1:13" x14ac:dyDescent="0.25">
      <c r="A8" s="4" t="s">
        <v>25</v>
      </c>
      <c r="B8" s="5">
        <v>667750</v>
      </c>
      <c r="E8" s="4" t="s">
        <v>17</v>
      </c>
      <c r="F8" s="5">
        <v>166200</v>
      </c>
      <c r="L8" s="6">
        <v>44443</v>
      </c>
      <c r="M8" s="5">
        <v>7200</v>
      </c>
    </row>
    <row r="9" spans="1:13" x14ac:dyDescent="0.25">
      <c r="E9" s="4" t="s">
        <v>19</v>
      </c>
      <c r="F9" s="5">
        <v>15300</v>
      </c>
      <c r="L9" s="6">
        <v>44444</v>
      </c>
      <c r="M9" s="5">
        <v>7500</v>
      </c>
    </row>
    <row r="10" spans="1:13" x14ac:dyDescent="0.25">
      <c r="E10" s="4" t="s">
        <v>25</v>
      </c>
      <c r="F10" s="5">
        <v>667750</v>
      </c>
      <c r="L10" s="6">
        <v>44445</v>
      </c>
      <c r="M10" s="5">
        <v>1200</v>
      </c>
    </row>
    <row r="11" spans="1:13" x14ac:dyDescent="0.25">
      <c r="L11" s="6">
        <v>44446</v>
      </c>
      <c r="M11" s="5">
        <v>900</v>
      </c>
    </row>
    <row r="12" spans="1:13" x14ac:dyDescent="0.25">
      <c r="L12" s="6">
        <v>44447</v>
      </c>
      <c r="M12" s="5">
        <v>380</v>
      </c>
    </row>
    <row r="13" spans="1:13" x14ac:dyDescent="0.25">
      <c r="L13" s="6">
        <v>44448</v>
      </c>
      <c r="M13" s="5">
        <v>420</v>
      </c>
    </row>
    <row r="14" spans="1:13" x14ac:dyDescent="0.25">
      <c r="L14" s="6">
        <v>44449</v>
      </c>
      <c r="M14" s="5">
        <v>14700</v>
      </c>
    </row>
    <row r="15" spans="1:13" x14ac:dyDescent="0.25">
      <c r="L15" s="6">
        <v>44450</v>
      </c>
      <c r="M15" s="5">
        <v>7200</v>
      </c>
    </row>
    <row r="16" spans="1:13" x14ac:dyDescent="0.25">
      <c r="L16" s="6">
        <v>44451</v>
      </c>
      <c r="M16" s="5">
        <v>7500</v>
      </c>
    </row>
    <row r="17" spans="12:13" x14ac:dyDescent="0.25">
      <c r="L17" s="6">
        <v>44452</v>
      </c>
      <c r="M17" s="5">
        <v>1200</v>
      </c>
    </row>
    <row r="18" spans="12:13" x14ac:dyDescent="0.25">
      <c r="L18" s="6">
        <v>44453</v>
      </c>
      <c r="M18" s="5">
        <v>1470</v>
      </c>
    </row>
    <row r="19" spans="12:13" x14ac:dyDescent="0.25">
      <c r="L19" s="6">
        <v>44454</v>
      </c>
      <c r="M19" s="5">
        <v>12600</v>
      </c>
    </row>
    <row r="20" spans="12:13" x14ac:dyDescent="0.25">
      <c r="L20" s="6">
        <v>44455</v>
      </c>
      <c r="M20" s="5">
        <v>6000</v>
      </c>
    </row>
    <row r="21" spans="12:13" x14ac:dyDescent="0.25">
      <c r="L21" s="6">
        <v>44456</v>
      </c>
      <c r="M21" s="5">
        <v>6000</v>
      </c>
    </row>
    <row r="22" spans="12:13" x14ac:dyDescent="0.25">
      <c r="L22" s="6">
        <v>44457</v>
      </c>
      <c r="M22" s="5">
        <v>900</v>
      </c>
    </row>
    <row r="23" spans="12:13" x14ac:dyDescent="0.25">
      <c r="L23" s="6">
        <v>44458</v>
      </c>
      <c r="M23" s="5">
        <v>380</v>
      </c>
    </row>
    <row r="24" spans="12:13" x14ac:dyDescent="0.25">
      <c r="L24" s="6">
        <v>44459</v>
      </c>
      <c r="M24" s="5">
        <v>420</v>
      </c>
    </row>
    <row r="25" spans="12:13" x14ac:dyDescent="0.25">
      <c r="L25" s="6">
        <v>44460</v>
      </c>
      <c r="M25" s="5">
        <v>14700</v>
      </c>
    </row>
    <row r="26" spans="12:13" x14ac:dyDescent="0.25">
      <c r="L26" s="6">
        <v>44461</v>
      </c>
      <c r="M26" s="5">
        <v>7200</v>
      </c>
    </row>
    <row r="27" spans="12:13" x14ac:dyDescent="0.25">
      <c r="L27" s="6">
        <v>44462</v>
      </c>
      <c r="M27" s="5">
        <v>7500</v>
      </c>
    </row>
    <row r="28" spans="12:13" x14ac:dyDescent="0.25">
      <c r="L28" s="6">
        <v>44463</v>
      </c>
      <c r="M28" s="5">
        <v>14700</v>
      </c>
    </row>
    <row r="29" spans="12:13" x14ac:dyDescent="0.25">
      <c r="L29" s="6">
        <v>44464</v>
      </c>
      <c r="M29" s="5">
        <v>14700</v>
      </c>
    </row>
    <row r="30" spans="12:13" x14ac:dyDescent="0.25">
      <c r="L30" s="6">
        <v>44465</v>
      </c>
      <c r="M30" s="5">
        <v>14700</v>
      </c>
    </row>
    <row r="31" spans="12:13" x14ac:dyDescent="0.25">
      <c r="L31" s="6">
        <v>44466</v>
      </c>
      <c r="M31" s="5">
        <v>14700</v>
      </c>
    </row>
    <row r="32" spans="12:13" x14ac:dyDescent="0.25">
      <c r="L32" s="6">
        <v>44467</v>
      </c>
      <c r="M32" s="5">
        <v>14700</v>
      </c>
    </row>
    <row r="33" spans="12:13" x14ac:dyDescent="0.25">
      <c r="L33" s="6">
        <v>44468</v>
      </c>
      <c r="M33" s="5">
        <v>14700</v>
      </c>
    </row>
    <row r="34" spans="12:13" x14ac:dyDescent="0.25">
      <c r="L34" s="6">
        <v>44469</v>
      </c>
      <c r="M34" s="5">
        <v>14700</v>
      </c>
    </row>
    <row r="35" spans="12:13" x14ac:dyDescent="0.25">
      <c r="L35" s="6">
        <v>44470</v>
      </c>
      <c r="M35" s="5">
        <v>14700</v>
      </c>
    </row>
    <row r="36" spans="12:13" x14ac:dyDescent="0.25">
      <c r="L36" s="6">
        <v>44471</v>
      </c>
      <c r="M36" s="5">
        <v>14700</v>
      </c>
    </row>
    <row r="37" spans="12:13" x14ac:dyDescent="0.25">
      <c r="L37" s="6">
        <v>44472</v>
      </c>
      <c r="M37" s="5">
        <v>14700</v>
      </c>
    </row>
    <row r="38" spans="12:13" x14ac:dyDescent="0.25">
      <c r="L38" s="6">
        <v>44473</v>
      </c>
      <c r="M38" s="5">
        <v>14700</v>
      </c>
    </row>
    <row r="39" spans="12:13" x14ac:dyDescent="0.25">
      <c r="L39" s="6">
        <v>44474</v>
      </c>
      <c r="M39" s="5">
        <v>6000</v>
      </c>
    </row>
    <row r="40" spans="12:13" x14ac:dyDescent="0.25">
      <c r="L40" s="6">
        <v>44475</v>
      </c>
      <c r="M40" s="5">
        <v>6000</v>
      </c>
    </row>
    <row r="41" spans="12:13" x14ac:dyDescent="0.25">
      <c r="L41" s="6">
        <v>44476</v>
      </c>
      <c r="M41" s="5">
        <v>900</v>
      </c>
    </row>
    <row r="42" spans="12:13" x14ac:dyDescent="0.25">
      <c r="L42" s="6">
        <v>44477</v>
      </c>
      <c r="M42" s="5">
        <v>380</v>
      </c>
    </row>
    <row r="43" spans="12:13" x14ac:dyDescent="0.25">
      <c r="L43" s="6">
        <v>44478</v>
      </c>
      <c r="M43" s="5">
        <v>1470</v>
      </c>
    </row>
    <row r="44" spans="12:13" x14ac:dyDescent="0.25">
      <c r="L44" s="6">
        <v>44479</v>
      </c>
      <c r="M44" s="5">
        <v>12600</v>
      </c>
    </row>
    <row r="45" spans="12:13" x14ac:dyDescent="0.25">
      <c r="L45" s="6">
        <v>44480</v>
      </c>
      <c r="M45" s="5">
        <v>6000</v>
      </c>
    </row>
    <row r="46" spans="12:13" x14ac:dyDescent="0.25">
      <c r="L46" s="6">
        <v>44481</v>
      </c>
      <c r="M46" s="5">
        <v>6000</v>
      </c>
    </row>
    <row r="47" spans="12:13" x14ac:dyDescent="0.25">
      <c r="L47" s="6">
        <v>44482</v>
      </c>
      <c r="M47" s="5">
        <v>900</v>
      </c>
    </row>
    <row r="48" spans="12:13" x14ac:dyDescent="0.25">
      <c r="L48" s="6">
        <v>44483</v>
      </c>
      <c r="M48" s="5">
        <v>380</v>
      </c>
    </row>
    <row r="49" spans="12:13" x14ac:dyDescent="0.25">
      <c r="L49" s="6">
        <v>44484</v>
      </c>
      <c r="M49" s="5">
        <v>420</v>
      </c>
    </row>
    <row r="50" spans="12:13" x14ac:dyDescent="0.25">
      <c r="L50" s="6">
        <v>44485</v>
      </c>
      <c r="M50" s="5">
        <v>14700</v>
      </c>
    </row>
    <row r="51" spans="12:13" x14ac:dyDescent="0.25">
      <c r="L51" s="6">
        <v>44486</v>
      </c>
      <c r="M51" s="5">
        <v>7200</v>
      </c>
    </row>
    <row r="52" spans="12:13" x14ac:dyDescent="0.25">
      <c r="L52" s="6">
        <v>44487</v>
      </c>
      <c r="M52" s="5">
        <v>7500</v>
      </c>
    </row>
    <row r="53" spans="12:13" x14ac:dyDescent="0.25">
      <c r="L53" s="6">
        <v>44488</v>
      </c>
      <c r="M53" s="5">
        <v>1200</v>
      </c>
    </row>
    <row r="54" spans="12:13" x14ac:dyDescent="0.25">
      <c r="L54" s="6">
        <v>44489</v>
      </c>
      <c r="M54" s="5">
        <v>7500</v>
      </c>
    </row>
    <row r="55" spans="12:13" x14ac:dyDescent="0.25">
      <c r="L55" s="6">
        <v>44490</v>
      </c>
      <c r="M55" s="5">
        <v>1200</v>
      </c>
    </row>
    <row r="56" spans="12:13" x14ac:dyDescent="0.25">
      <c r="L56" s="6">
        <v>44491</v>
      </c>
      <c r="M56" s="5">
        <v>7500</v>
      </c>
    </row>
    <row r="57" spans="12:13" x14ac:dyDescent="0.25">
      <c r="L57" s="6">
        <v>44492</v>
      </c>
      <c r="M57" s="5">
        <v>1200</v>
      </c>
    </row>
    <row r="58" spans="12:13" x14ac:dyDescent="0.25">
      <c r="L58" s="6">
        <v>44493</v>
      </c>
      <c r="M58" s="5">
        <v>7500</v>
      </c>
    </row>
    <row r="59" spans="12:13" x14ac:dyDescent="0.25">
      <c r="L59" s="6">
        <v>44494</v>
      </c>
      <c r="M59" s="5">
        <v>1200</v>
      </c>
    </row>
    <row r="60" spans="12:13" x14ac:dyDescent="0.25">
      <c r="L60" s="6">
        <v>44495</v>
      </c>
      <c r="M60" s="5">
        <v>7500</v>
      </c>
    </row>
    <row r="61" spans="12:13" x14ac:dyDescent="0.25">
      <c r="L61" s="6">
        <v>44496</v>
      </c>
      <c r="M61" s="5">
        <v>1200</v>
      </c>
    </row>
    <row r="62" spans="12:13" x14ac:dyDescent="0.25">
      <c r="L62" s="6">
        <v>44497</v>
      </c>
      <c r="M62" s="5">
        <v>7500</v>
      </c>
    </row>
    <row r="63" spans="12:13" x14ac:dyDescent="0.25">
      <c r="L63" s="6">
        <v>44498</v>
      </c>
      <c r="M63" s="5">
        <v>12600</v>
      </c>
    </row>
    <row r="64" spans="12:13" x14ac:dyDescent="0.25">
      <c r="L64" s="6">
        <v>44499</v>
      </c>
      <c r="M64" s="5">
        <v>6000</v>
      </c>
    </row>
    <row r="65" spans="12:13" x14ac:dyDescent="0.25">
      <c r="L65" s="6">
        <v>44500</v>
      </c>
      <c r="M65" s="5">
        <v>6000</v>
      </c>
    </row>
    <row r="66" spans="12:13" x14ac:dyDescent="0.25">
      <c r="L66" s="6">
        <v>44501</v>
      </c>
      <c r="M66" s="5">
        <v>900</v>
      </c>
    </row>
    <row r="67" spans="12:13" x14ac:dyDescent="0.25">
      <c r="L67" s="6">
        <v>44502</v>
      </c>
      <c r="M67" s="5">
        <v>380</v>
      </c>
    </row>
    <row r="68" spans="12:13" x14ac:dyDescent="0.25">
      <c r="L68" s="6">
        <v>44503</v>
      </c>
      <c r="M68" s="5">
        <v>380</v>
      </c>
    </row>
    <row r="69" spans="12:13" x14ac:dyDescent="0.25">
      <c r="L69" s="6">
        <v>44504</v>
      </c>
      <c r="M69" s="5">
        <v>380</v>
      </c>
    </row>
    <row r="70" spans="12:13" x14ac:dyDescent="0.25">
      <c r="L70" s="6">
        <v>44505</v>
      </c>
      <c r="M70" s="5">
        <v>380</v>
      </c>
    </row>
    <row r="71" spans="12:13" x14ac:dyDescent="0.25">
      <c r="L71" s="6">
        <v>44506</v>
      </c>
      <c r="M71" s="5">
        <v>380</v>
      </c>
    </row>
    <row r="72" spans="12:13" x14ac:dyDescent="0.25">
      <c r="L72" s="6">
        <v>44507</v>
      </c>
      <c r="M72" s="5">
        <v>380</v>
      </c>
    </row>
    <row r="73" spans="12:13" x14ac:dyDescent="0.25">
      <c r="L73" s="6">
        <v>44508</v>
      </c>
      <c r="M73" s="5">
        <v>380</v>
      </c>
    </row>
    <row r="74" spans="12:13" x14ac:dyDescent="0.25">
      <c r="L74" s="6">
        <v>44509</v>
      </c>
      <c r="M74" s="5">
        <v>380</v>
      </c>
    </row>
    <row r="75" spans="12:13" x14ac:dyDescent="0.25">
      <c r="L75" s="6">
        <v>44510</v>
      </c>
      <c r="M75" s="5">
        <v>380</v>
      </c>
    </row>
    <row r="76" spans="12:13" x14ac:dyDescent="0.25">
      <c r="L76" s="6">
        <v>44511</v>
      </c>
      <c r="M76" s="5">
        <v>380</v>
      </c>
    </row>
    <row r="77" spans="12:13" x14ac:dyDescent="0.25">
      <c r="L77" s="6">
        <v>44512</v>
      </c>
      <c r="M77" s="5">
        <v>380</v>
      </c>
    </row>
    <row r="78" spans="12:13" x14ac:dyDescent="0.25">
      <c r="L78" s="6">
        <v>44513</v>
      </c>
      <c r="M78" s="5">
        <v>380</v>
      </c>
    </row>
    <row r="79" spans="12:13" x14ac:dyDescent="0.25">
      <c r="L79" s="6">
        <v>44514</v>
      </c>
      <c r="M79" s="5">
        <v>570</v>
      </c>
    </row>
    <row r="80" spans="12:13" x14ac:dyDescent="0.25">
      <c r="L80" s="6">
        <v>44515</v>
      </c>
      <c r="M80" s="5">
        <v>420</v>
      </c>
    </row>
    <row r="81" spans="12:13" x14ac:dyDescent="0.25">
      <c r="L81" s="6">
        <v>44516</v>
      </c>
      <c r="M81" s="5">
        <v>420</v>
      </c>
    </row>
    <row r="82" spans="12:13" x14ac:dyDescent="0.25">
      <c r="L82" s="6">
        <v>44517</v>
      </c>
      <c r="M82" s="5">
        <v>420</v>
      </c>
    </row>
    <row r="83" spans="12:13" x14ac:dyDescent="0.25">
      <c r="L83" s="6">
        <v>44518</v>
      </c>
      <c r="M83" s="5">
        <v>420</v>
      </c>
    </row>
    <row r="84" spans="12:13" x14ac:dyDescent="0.25">
      <c r="L84" s="6">
        <v>44519</v>
      </c>
      <c r="M84" s="5">
        <v>420</v>
      </c>
    </row>
    <row r="85" spans="12:13" x14ac:dyDescent="0.25">
      <c r="L85" s="6">
        <v>44520</v>
      </c>
      <c r="M85" s="5">
        <v>420</v>
      </c>
    </row>
    <row r="86" spans="12:13" x14ac:dyDescent="0.25">
      <c r="L86" s="6">
        <v>44521</v>
      </c>
      <c r="M86" s="5">
        <v>420</v>
      </c>
    </row>
    <row r="87" spans="12:13" x14ac:dyDescent="0.25">
      <c r="L87" s="6">
        <v>44522</v>
      </c>
      <c r="M87" s="5">
        <v>420</v>
      </c>
    </row>
    <row r="88" spans="12:13" x14ac:dyDescent="0.25">
      <c r="L88" s="6">
        <v>44523</v>
      </c>
      <c r="M88" s="5">
        <v>420</v>
      </c>
    </row>
    <row r="89" spans="12:13" x14ac:dyDescent="0.25">
      <c r="L89" s="6">
        <v>44524</v>
      </c>
      <c r="M89" s="5">
        <v>420</v>
      </c>
    </row>
    <row r="90" spans="12:13" x14ac:dyDescent="0.25">
      <c r="L90" s="6">
        <v>44525</v>
      </c>
      <c r="M90" s="5">
        <v>420</v>
      </c>
    </row>
    <row r="91" spans="12:13" x14ac:dyDescent="0.25">
      <c r="L91" s="6">
        <v>44526</v>
      </c>
      <c r="M91" s="5">
        <v>420</v>
      </c>
    </row>
    <row r="92" spans="12:13" x14ac:dyDescent="0.25">
      <c r="L92" s="6">
        <v>44527</v>
      </c>
      <c r="M92" s="5">
        <v>380</v>
      </c>
    </row>
    <row r="93" spans="12:13" x14ac:dyDescent="0.25">
      <c r="L93" s="6">
        <v>44528</v>
      </c>
      <c r="M93" s="5">
        <v>1470</v>
      </c>
    </row>
    <row r="94" spans="12:13" x14ac:dyDescent="0.25">
      <c r="L94" s="6">
        <v>44529</v>
      </c>
      <c r="M94" s="5">
        <v>12600</v>
      </c>
    </row>
    <row r="95" spans="12:13" x14ac:dyDescent="0.25">
      <c r="L95" s="6">
        <v>44530</v>
      </c>
      <c r="M95" s="5">
        <v>6000</v>
      </c>
    </row>
    <row r="96" spans="12:13" x14ac:dyDescent="0.25">
      <c r="L96" s="6">
        <v>44531</v>
      </c>
      <c r="M96" s="5">
        <v>6000</v>
      </c>
    </row>
    <row r="97" spans="12:13" x14ac:dyDescent="0.25">
      <c r="L97" s="6">
        <v>44532</v>
      </c>
      <c r="M97" s="5">
        <v>6000</v>
      </c>
    </row>
    <row r="98" spans="12:13" x14ac:dyDescent="0.25">
      <c r="L98" s="6">
        <v>44533</v>
      </c>
      <c r="M98" s="5">
        <v>6000</v>
      </c>
    </row>
    <row r="99" spans="12:13" x14ac:dyDescent="0.25">
      <c r="L99" s="6">
        <v>44534</v>
      </c>
      <c r="M99" s="5">
        <v>6000</v>
      </c>
    </row>
    <row r="100" spans="12:13" x14ac:dyDescent="0.25">
      <c r="L100" s="6">
        <v>44535</v>
      </c>
      <c r="M100" s="5">
        <v>6000</v>
      </c>
    </row>
    <row r="101" spans="12:13" x14ac:dyDescent="0.25">
      <c r="L101" s="6">
        <v>44536</v>
      </c>
      <c r="M101" s="5">
        <v>6000</v>
      </c>
    </row>
    <row r="102" spans="12:13" x14ac:dyDescent="0.25">
      <c r="L102" s="6">
        <v>44537</v>
      </c>
      <c r="M102" s="5">
        <v>6000</v>
      </c>
    </row>
    <row r="103" spans="12:13" x14ac:dyDescent="0.25">
      <c r="L103" s="6">
        <v>44538</v>
      </c>
      <c r="M103" s="5">
        <v>6000</v>
      </c>
    </row>
    <row r="104" spans="12:13" x14ac:dyDescent="0.25">
      <c r="L104" s="6">
        <v>44539</v>
      </c>
      <c r="M104" s="5">
        <v>6000</v>
      </c>
    </row>
    <row r="105" spans="12:13" x14ac:dyDescent="0.25">
      <c r="L105" s="6">
        <v>44540</v>
      </c>
      <c r="M105" s="5">
        <v>420</v>
      </c>
    </row>
    <row r="106" spans="12:13" x14ac:dyDescent="0.25">
      <c r="L106" s="6">
        <v>44541</v>
      </c>
      <c r="M106" s="5">
        <v>14700</v>
      </c>
    </row>
    <row r="107" spans="12:13" x14ac:dyDescent="0.25">
      <c r="L107" s="6">
        <v>44542</v>
      </c>
      <c r="M107" s="5">
        <v>7200</v>
      </c>
    </row>
    <row r="108" spans="12:13" x14ac:dyDescent="0.25">
      <c r="L108" s="6">
        <v>44543</v>
      </c>
      <c r="M108" s="5">
        <v>1500</v>
      </c>
    </row>
    <row r="109" spans="12:13" x14ac:dyDescent="0.25">
      <c r="L109" s="6">
        <v>44544</v>
      </c>
      <c r="M109" s="5">
        <v>800</v>
      </c>
    </row>
    <row r="110" spans="12:13" x14ac:dyDescent="0.25">
      <c r="L110" s="6">
        <v>44545</v>
      </c>
      <c r="M110" s="5">
        <v>570</v>
      </c>
    </row>
    <row r="111" spans="12:13" x14ac:dyDescent="0.25">
      <c r="L111" s="6">
        <v>44546</v>
      </c>
      <c r="M111" s="5">
        <v>4200</v>
      </c>
    </row>
    <row r="112" spans="12:13" x14ac:dyDescent="0.25">
      <c r="L112" s="6">
        <v>44547</v>
      </c>
      <c r="M112" s="5">
        <v>1470</v>
      </c>
    </row>
    <row r="113" spans="12:13" x14ac:dyDescent="0.25">
      <c r="L113" s="6">
        <v>44548</v>
      </c>
      <c r="M113" s="5">
        <v>12600</v>
      </c>
    </row>
    <row r="114" spans="12:13" x14ac:dyDescent="0.25">
      <c r="L114" s="6">
        <v>44549</v>
      </c>
      <c r="M114" s="5">
        <v>6000</v>
      </c>
    </row>
    <row r="115" spans="12:13" x14ac:dyDescent="0.25">
      <c r="L115" s="6">
        <v>44550</v>
      </c>
      <c r="M115" s="5">
        <v>6000</v>
      </c>
    </row>
    <row r="116" spans="12:13" x14ac:dyDescent="0.25">
      <c r="L116" s="6">
        <v>44551</v>
      </c>
      <c r="M116" s="5">
        <v>900</v>
      </c>
    </row>
    <row r="117" spans="12:13" x14ac:dyDescent="0.25">
      <c r="L117" s="6">
        <v>44552</v>
      </c>
      <c r="M117" s="5">
        <v>380</v>
      </c>
    </row>
    <row r="118" spans="12:13" x14ac:dyDescent="0.25">
      <c r="L118" s="6">
        <v>44553</v>
      </c>
      <c r="M118" s="5">
        <v>1470</v>
      </c>
    </row>
    <row r="119" spans="12:13" x14ac:dyDescent="0.25">
      <c r="L119" s="6">
        <v>44554</v>
      </c>
      <c r="M119" s="5">
        <v>12600</v>
      </c>
    </row>
    <row r="120" spans="12:13" x14ac:dyDescent="0.25">
      <c r="L120" s="6">
        <v>44555</v>
      </c>
      <c r="M120" s="5">
        <v>12600</v>
      </c>
    </row>
    <row r="121" spans="12:13" x14ac:dyDescent="0.25">
      <c r="L121" s="6">
        <v>44556</v>
      </c>
      <c r="M121" s="5">
        <v>12600</v>
      </c>
    </row>
    <row r="122" spans="12:13" x14ac:dyDescent="0.25">
      <c r="L122" s="6">
        <v>44557</v>
      </c>
      <c r="M122" s="5">
        <v>12600</v>
      </c>
    </row>
    <row r="123" spans="12:13" x14ac:dyDescent="0.25">
      <c r="L123" s="6">
        <v>44558</v>
      </c>
      <c r="M123" s="5">
        <v>12600</v>
      </c>
    </row>
    <row r="124" spans="12:13" x14ac:dyDescent="0.25">
      <c r="L124" s="6">
        <v>44559</v>
      </c>
      <c r="M124" s="5">
        <v>12600</v>
      </c>
    </row>
    <row r="125" spans="12:13" x14ac:dyDescent="0.25">
      <c r="L125" s="6">
        <v>44560</v>
      </c>
      <c r="M125" s="5">
        <v>12600</v>
      </c>
    </row>
    <row r="126" spans="12:13" x14ac:dyDescent="0.25">
      <c r="L126" s="6">
        <v>44561</v>
      </c>
      <c r="M126" s="5">
        <v>7200</v>
      </c>
    </row>
    <row r="127" spans="12:13" x14ac:dyDescent="0.25">
      <c r="L127" s="6">
        <v>44562</v>
      </c>
      <c r="M127" s="5">
        <v>7500</v>
      </c>
    </row>
    <row r="128" spans="12:13" x14ac:dyDescent="0.25">
      <c r="L128" s="4" t="s">
        <v>25</v>
      </c>
      <c r="M128" s="5">
        <v>667750</v>
      </c>
    </row>
  </sheetData>
  <mergeCells count="3">
    <mergeCell ref="A2:B2"/>
    <mergeCell ref="E2:F2"/>
    <mergeCell ref="J2:K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C678-0386-4F77-ACC3-9B3D7C50B20A}">
  <dimension ref="A1"/>
  <sheetViews>
    <sheetView showGridLines="0" zoomScale="75" zoomScaleNormal="75" workbookViewId="0">
      <selection activeCell="B3" sqref="B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abSelected="1" workbookViewId="0">
      <selection activeCell="C12" sqref="A1:H367"/>
    </sheetView>
  </sheetViews>
  <sheetFormatPr defaultRowHeight="15" x14ac:dyDescent="0.25"/>
  <cols>
    <col min="1" max="1" width="10.7109375" customWidth="1"/>
    <col min="2" max="2" width="18.5703125" customWidth="1"/>
    <col min="3" max="3" width="12.85546875" customWidth="1"/>
    <col min="4" max="4" width="13.42578125" customWidth="1"/>
    <col min="5" max="5" width="14.42578125" customWidth="1"/>
    <col min="6" max="6" width="11.5703125" customWidth="1"/>
    <col min="7" max="7" width="12" customWidth="1"/>
    <col min="8" max="8" width="1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ORDER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2026-09-01T03:42:09Z</dcterms:created>
  <dcterms:modified xsi:type="dcterms:W3CDTF">2026-09-17T08:35:40Z</dcterms:modified>
</cp:coreProperties>
</file>